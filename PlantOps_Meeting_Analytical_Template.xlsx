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56700b54a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eting Excel Sheet" sheetId="1" r:id="Rc87821b5d2604364"/>
    <x:sheet xmlns:r="http://schemas.openxmlformats.org/officeDocument/2006/relationships" name="Analytical Sheet" sheetId="2" r:id="Recdc75f69ac84d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E3A8A"/>
      </x:patternFill>
    </x:fill>
    <x:fill>
      <x:patternFill patternType="solid">
        <x:fgColor rgb="FFF2CC"/>
      </x:patternFill>
    </x:fill>
    <x:fill>
      <x:patternFill patternType="solid">
        <x:fgColor rgb="E5E7EB"/>
      </x:patternFill>
    </x:fill>
    <x:fill>
      <x:patternFill patternType="solid">
        <x:fgColor rgb="FFF200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112df3e612417a" /><Relationship Type="http://schemas.openxmlformats.org/officeDocument/2006/relationships/theme" Target="/xl/theme/theme1.xml" Id="Rb6ac04c9b5e14316" /><Relationship Type="http://schemas.openxmlformats.org/officeDocument/2006/relationships/sharedStrings" Target="/xl/sharedStrings.xml" Id="R61a5664bf04548ca" /><Relationship Type="http://schemas.openxmlformats.org/officeDocument/2006/relationships/worksheet" Target="/xl/worksheets/sheet1.xml" Id="Rc87821b5d2604364" /><Relationship Type="http://schemas.openxmlformats.org/officeDocument/2006/relationships/worksheet" Target="/xl/worksheets/sheet2.xml" Id="Recdc75f69ac84d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7.940000057220459" hidden="0" customWidth="1"/>
    <x:col min="3" max="3" width="8.880000114440918" hidden="0" customWidth="1"/>
    <x:col min="4" max="4" width="14.539999961853027" hidden="0" customWidth="1"/>
    <x:col min="5" max="5" width="3.630000114440918" hidden="0" customWidth="1"/>
    <x:col min="6" max="6" width="11.979999542236328" hidden="0" customWidth="1"/>
    <x:col min="7" max="7" width="13.0600004196167" hidden="0" customWidth="1"/>
    <x:col min="8" max="8" width="6.860000133514404" hidden="0" customWidth="1"/>
    <x:col min="9" max="9" width="18.84000015258789" hidden="0" customWidth="1"/>
    <x:col min="10" max="10" width="16.549999237060547" hidden="0" customWidth="1"/>
    <x:col min="11" max="11" width="10.359999656677246" hidden="0" customWidth="1"/>
    <x:col min="12" max="12" width="2.1500000953674316" hidden="0" customWidth="1"/>
    <x:col min="13" max="13" width="4.440000057220459" hidden="0" customWidth="1"/>
    <x:col min="14" max="14" width="10.359999656677246" hidden="0" customWidth="1"/>
    <x:col min="15" max="15" width="11.4399995803833" hidden="0" customWidth="1"/>
    <x:col min="16" max="16" width="4.440000057220459" hidden="0" customWidth="1"/>
    <x:col min="17" max="17" width="14.399999618530273" hidden="0" customWidth="1"/>
    <x:col min="18" max="18" width="12.109999656677246" hidden="0" customWidth="1"/>
    <x:col min="19" max="19" width="11.979999542236328" hidden="0" customWidth="1"/>
    <x:col min="20" max="20" width="30.690000534057617" hidden="0" customWidth="1"/>
    <x:col min="21" max="21" width="17.5" hidden="0" customWidth="1"/>
    <x:col min="22" max="22" width="23.010000228881836" hidden="0" customWidth="1"/>
    <x:col min="23" max="23" width="13.460000038146973" hidden="0" customWidth="1"/>
    <x:col min="24" max="24" width="25.030000686645508" hidden="0" customWidth="1"/>
    <x:col min="25" max="25" width="30.690000534057617" hidden="0" customWidth="1"/>
  </x:cols>
  <x:sheetData>
    <x:row r="1">
      <x:c r="A1" s="6" t="str">
        <x:v>Month</x:v>
      </x:c>
      <x:c r="B1" s="6" t="str">
        <x:v>Date</x:v>
      </x:c>
      <x:c r="C1" s="6" t="str">
        <x:v>ShopName</x:v>
      </x:c>
      <x:c r="D1" s="6" t="str">
        <x:v>Actual Production</x:v>
      </x:c>
      <x:c r="E1" s="6" t="str">
        <x:v>Shift</x:v>
      </x:c>
      <x:c r="F1" s="6" t="str">
        <x:v>Time (Min)</x:v>
      </x:c>
      <x:c r="G1" s="6" t="str">
        <x:v>Cycle Time (Sec)</x:v>
      </x:c>
      <x:c r="H1" s="6" t="str">
        <x:v>Capacity</x:v>
      </x:c>
      <x:c r="I1" s="6" t="str">
        <x:v>Production Time (Min)</x:v>
      </x:c>
      <x:c r="J1" s="6" t="str">
        <x:v>Production DT (Min)</x:v>
      </x:c>
      <x:c r="K1" s="6" t="str">
        <x:v>AR</x:v>
      </x:c>
      <x:c r="L1" s="6" t="str">
        <x:v>PR</x:v>
      </x:c>
      <x:c r="M1" s="6" t="str">
        <x:v>QR</x:v>
      </x:c>
      <x:c r="N1" s="6" t="str">
        <x:v>OE</x:v>
      </x:c>
      <x:c r="O1" s="6" t="str">
        <x:v>Line Efficiency</x:v>
      </x:c>
      <x:c r="P1" s="6" t="str"/>
      <x:c r="Q1" s="6" t="str">
        <x:v>Affected DT (Min)</x:v>
      </x:c>
      <x:c r="R1" s="6" t="str">
        <x:v>Gross DT (Min)</x:v>
      </x:c>
      <x:c r="S1" s="6" t="str">
        <x:v>BD Occurrence</x:v>
      </x:c>
      <x:c r="T1" s="6" t="str">
        <x:v>Uptime (Min)=(Total Time - Affect DT)</x:v>
      </x:c>
      <x:c r="U1" s="6" t="str">
        <x:v>MTTR (Min)</x:v>
      </x:c>
      <x:c r="V1" s="6" t="str">
        <x:v>MTBF (Hrs)</x:v>
      </x:c>
      <x:c r="W1" s="6" t="str">
        <x:v>Gross DT(Target)</x:v>
      </x:c>
      <x:c r="X1" s="6" t="str">
        <x:v>Uptime GDT (Total Time - GDT)</x:v>
      </x:c>
      <x:c r="Y1" s="6" t="str">
        <x:v>BD</x:v>
      </x:c>
    </x:row>
    <x:row r="2">
      <x:c r="A2" s="16" t="str">
        <x:v>Month</x:v>
      </x:c>
      <x:c r="B2" s="16" t="str">
        <x:v>Date</x:v>
      </x:c>
      <x:c r="C2" s="16" t="str">
        <x:v>Shop</x:v>
      </x:c>
      <x:c r="D2" s="16" t="str">
        <x:v>Production</x:v>
      </x:c>
      <x:c r="E2" s="16" t="str">
        <x:v>Shift</x:v>
      </x:c>
      <x:c r="F2" s="16" t="str">
        <x:v>Available Time</x:v>
      </x:c>
      <x:c r="G2" s="16" t="str">
        <x:v>Cycle Time</x:v>
      </x:c>
      <x:c r="H2" s="16" t="str">
        <x:v>Capacity</x:v>
      </x:c>
      <x:c r="I2" s="16" t="str">
        <x:v>Actual Production time</x:v>
      </x:c>
      <x:c r="J2" s="16" t="str">
        <x:v>Net DT</x:v>
      </x:c>
      <x:c r="K2" s="16" t="str">
        <x:v>AR</x:v>
      </x:c>
      <x:c r="L2" s="16" t="str">
        <x:v>PR</x:v>
      </x:c>
      <x:c r="M2" s="16" t="str">
        <x:v>QR</x:v>
      </x:c>
      <x:c r="N2" s="16" t="str">
        <x:v>OE</x:v>
      </x:c>
      <x:c r="O2" s="16" t="str">
        <x:v>LE</x:v>
      </x:c>
      <x:c r="P2" s="16" t="str">
        <x:v>Blank</x:v>
      </x:c>
      <x:c r="Q2" s="16" t="str">
        <x:v>Affected DT (Min)</x:v>
      </x:c>
      <x:c r="R2" s="16" t="str">
        <x:v>Gross DT (Min)</x:v>
      </x:c>
      <x:c r="S2" s="16" t="str">
        <x:v>BD Occurance</x:v>
      </x:c>
      <x:c r="T2" s="16" t="str">
        <x:v>Uptime (%) Based on Affected DT</x:v>
      </x:c>
      <x:c r="U2" s="16" t="str">
        <x:v>MTTR Affected / Iden</x:v>
      </x:c>
      <x:c r="V2" s="16" t="str">
        <x:v>MTBF (Avail - ADT) / BD / 60</x:v>
      </x:c>
      <x:c r="W2" s="16" t="str">
        <x:v>Gross DT(Target)</x:v>
      </x:c>
      <x:c r="X2" s="16" t="str">
        <x:v>Uptime (%) Based on Gross DT</x:v>
      </x:c>
      <x:c r="Y2" s="16" t="str">
        <x:v>BD</x:v>
      </x:c>
    </x:row>
    <x:row r="3">
      <x:c r="A3" s="24" t="str">
        <x:v>Apr'26</x:v>
      </x:c>
      <x:c r="B3" s="24" t="str">
        <x:v>20-Apr-26</x:v>
      </x:c>
      <x:c r="C3" s="24" t="str">
        <x:v>TCF-1</x:v>
      </x:c>
      <x:c r="D3" s="28" t="n">
        <x:v>724</x:v>
      </x:c>
      <x:c r="E3" s="24" t="n">
        <x:v>3</x:v>
      </x:c>
      <x:c r="F3" s="28" t="n">
        <x:v>1285</x:v>
      </x:c>
      <x:c r="G3" s="28" t="n">
        <x:v>74</x:v>
      </x:c>
      <x:c r="H3" s="30" t="n">
        <x:f>IFERROR(ROUND(F3*60/G3,0),0)</x:f>
        <x:v>1042</x:v>
      </x:c>
      <x:c r="I3" s="30" t="n">
        <x:f>IFERROR(ROUND(D3*G3/60,0),0)</x:f>
        <x:v>893</x:v>
      </x:c>
      <x:c r="J3" s="30" t="n">
        <x:f>IFERROR(ROUND(F3-I3,0),0)</x:f>
        <x:v>392</x:v>
      </x:c>
      <x:c r="K3" s="30" t="n">
        <x:f>IFERROR(I3/F3,0)</x:f>
        <x:v>0.6949416342412451</x:v>
      </x:c>
      <x:c r="L3" s="28" t="n">
        <x:v>1</x:v>
      </x:c>
      <x:c r="M3" s="28" t="n">
        <x:v>0.827</x:v>
      </x:c>
      <x:c r="N3" s="30" t="n">
        <x:f>IFERROR(K3*L3*M3*100,0)</x:f>
        <x:v>57.47167315175097</x:v>
      </x:c>
      <x:c r="O3" s="30" t="n">
        <x:f>IFERROR(D3/H3*100,0)</x:f>
        <x:v>69.48176583493282</x:v>
      </x:c>
      <x:c r="P3" s="32"/>
      <x:c r="Q3" s="28" t="n">
        <x:v>89</x:v>
      </x:c>
      <x:c r="R3" s="28" t="n">
        <x:v>98</x:v>
      </x:c>
      <x:c r="S3" s="28" t="n">
        <x:v>23</x:v>
      </x:c>
      <x:c r="T3" s="30" t="n">
        <x:f>IFERROR((F3-Q3)/F3,0)</x:f>
        <x:v>0.930739299610895</x:v>
      </x:c>
      <x:c r="U3" s="30" t="n">
        <x:f>IFERROR(Q3/S3,0)</x:f>
        <x:v>3.869565217391304</x:v>
      </x:c>
      <x:c r="V3" s="30" t="n">
        <x:f>IFERROR(((F3-Q3)/S3)/60,0)</x:f>
        <x:v>0.8666666666666667</x:v>
      </x:c>
      <x:c r="W3" s="28" t="n">
        <x:v>1589</x:v>
      </x:c>
      <x:c r="X3" s="30" t="n">
        <x:f>IFERROR((F3-R3)/F3,0)</x:f>
        <x:v>0.9237354085603113</x:v>
      </x:c>
      <x:c r="Y3" s="34" t="str">
        <x:v>Trim#3 unload lift fault -9 min (C shift)
Subframe assembly pallet stuck -8 min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6.329999923706055" hidden="0" customWidth="1"/>
    <x:col min="3" max="3" width="8.880000114440918" hidden="0" customWidth="1"/>
    <x:col min="4" max="4" width="6.860000133514404" hidden="0" customWidth="1"/>
    <x:col min="5" max="5" width="18.440000534057617" hidden="0" customWidth="1"/>
    <x:col min="6" max="6" width="5.519999980926514" hidden="0" customWidth="1"/>
    <x:col min="7" max="7" width="9.420000076293945" hidden="0" customWidth="1"/>
    <x:col min="8" max="8" width="7.130000114440918" hidden="0" customWidth="1"/>
    <x:col min="9" max="9" width="11.979999542236328" hidden="0" customWidth="1"/>
    <x:col min="10" max="10" width="7.539999961853027" hidden="0" customWidth="1"/>
    <x:col min="11" max="11" width="8.479999542236328" hidden="0" customWidth="1"/>
    <x:col min="12" max="12" width="7.809999942779541" hidden="0" customWidth="1"/>
  </x:cols>
  <x:sheetData>
    <x:row r="1">
      <x:c r="A1" s="36" t="str">
        <x:v>PlantOps Analytical Sheet</x:v>
      </x:c>
      <x:c r="B1" s="36" t="str"/>
      <x:c r="C1" s="36" t="str"/>
      <x:c r="D1" s="36" t="str"/>
      <x:c r="E1" s="36" t="str"/>
      <x:c r="F1" s="36" t="str"/>
    </x:row>
    <x:row r="3">
      <x:c r="A3" s="41" t="str">
        <x:v>Group</x:v>
      </x:c>
      <x:c r="B3" s="41" t="str">
        <x:v>Reports</x:v>
      </x:c>
      <x:c r="C3" s="41" t="str">
        <x:v>Production</x:v>
      </x:c>
      <x:c r="D3" s="41" t="str">
        <x:v>Capacity</x:v>
      </x:c>
      <x:c r="E3" s="41" t="str">
        <x:v>Production Time (Min)</x:v>
      </x:c>
      <x:c r="F3" s="41" t="str">
        <x:v>Net DT</x:v>
      </x:c>
      <x:c r="G3" s="41" t="str">
        <x:v>Affected DT</x:v>
      </x:c>
      <x:c r="H3" s="41" t="str">
        <x:v>Gross DT</x:v>
      </x:c>
      <x:c r="I3" s="41" t="str">
        <x:v>BD Occurrence</x:v>
      </x:c>
      <x:c r="J3" s="41" t="str">
        <x:v>Avg OE %</x:v>
      </x:c>
      <x:c r="K3" s="41" t="str">
        <x:v>MTTR Min</x:v>
      </x:c>
      <x:c r="L3" s="41" t="str">
        <x:v>MTBF Hrs</x:v>
      </x:c>
    </x:row>
    <x:row r="4">
      <x:c r="A4" t="str">
        <x:v>TCF-1</x:v>
      </x:c>
      <x:c r="B4" t="n">
        <x:v>1</x:v>
      </x:c>
      <x:c r="C4" t="n">
        <x:v>724</x:v>
      </x:c>
      <x:c r="D4" t="n">
        <x:v>1042</x:v>
      </x:c>
      <x:c r="E4" t="n">
        <x:v>893</x:v>
      </x:c>
      <x:c r="F4" t="n">
        <x:v>392</x:v>
      </x:c>
      <x:c r="G4" t="n">
        <x:v>89</x:v>
      </x:c>
      <x:c r="H4" t="n">
        <x:v>98</x:v>
      </x:c>
      <x:c r="I4" t="n">
        <x:v>23</x:v>
      </x:c>
      <x:c r="J4" t="n">
        <x:v>57</x:v>
      </x:c>
      <x:c r="K4" t="n">
        <x:v>3.9</x:v>
      </x:c>
      <x:c r="L4" t="n">
        <x:v>0.9</x:v>
      </x:c>
    </x:row>
  </x:sheetData>
  <x:pageMargins left="0.7" right="0.7" top="0.75" bottom="0.75" header="0.3" footer="0.3"/>
</x:worksheet>
</file>